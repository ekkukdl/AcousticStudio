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260fbe093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부품별 예산" sheetId="1" r:id="R7c0c5b67d1c04f66"/>
    <x:sheet xmlns:r="http://schemas.openxmlformats.org/officeDocument/2006/relationships" name="커패시터 구성" sheetId="2" r:id="Rd4e003bbee9d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;(#,##0);&quot;-&quot;"/>
    <x:numFmt numFmtId="202" formatCode="0"/>
  </x:numFmts>
  <x:fonts count="8">
    <x:font>
      <x:sz val="11"/>
      <x:name val="Carlito"/>
    </x:font>
    <x:font>
      <x:sz val="11"/>
      <x:color rgb="FF202B3C"/>
      <x:name val="Arial"/>
    </x:font>
    <x:font>
      <x:b/>
      <x:sz val="16"/>
      <x:color rgb="FF202B3C"/>
      <x:name val="Arial"/>
    </x:font>
    <x:font>
      <x:i/>
      <x:sz val="11"/>
      <x:color rgb="FF58657A"/>
      <x:name val="Arial"/>
    </x:font>
    <x:font>
      <x:b/>
      <x:sz val="11"/>
      <x:color rgb="FFFFFFFF"/>
      <x:name val="Arial"/>
    </x:font>
    <x:font>
      <x:sz val="11"/>
      <x:color rgb="FF1456C0"/>
      <x:name val="Arial"/>
    </x:font>
    <x:font>
      <x:b/>
      <x:sz val="11"/>
      <x:color rgb="FF202B3C"/>
      <x:name val="Arial"/>
    </x:font>
    <x:font>
      <x:sz val="11"/>
      <x:color rgb="FF28764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D60"/>
      </x:patternFill>
    </x:fill>
    <x:fill>
      <x:patternFill patternType="solid">
        <x:fgColor rgb="FFFFF2CC"/>
      </x:patternFill>
    </x:fill>
    <x:fill>
      <x:patternFill patternType="solid">
        <x:fgColor rgb="FFE7EDF5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f9d9d835e4359" /><Relationship Type="http://schemas.openxmlformats.org/officeDocument/2006/relationships/theme" Target="/xl/theme/theme1.xml" Id="Re1503db1a1344731" /><Relationship Type="http://schemas.openxmlformats.org/officeDocument/2006/relationships/sharedStrings" Target="/xl/sharedStrings.xml" Id="R3ecf06ac82ad48e1" /><Relationship Type="http://schemas.openxmlformats.org/officeDocument/2006/relationships/worksheet" Target="/xl/worksheets/sheet1.xml" Id="R7c0c5b67d1c04f66" /><Relationship Type="http://schemas.openxmlformats.org/officeDocument/2006/relationships/worksheet" Target="/xl/worksheets/sheet2.xml" Id="Rd4e003bbee9d49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D60"/>
  </x:sheetPr>
  <x:sheetViews>
    <x:sheetView showGridLines="0" workbookViewId="0">
      <x:pane xSplit="1" ySplit="15" topLeftCell="B16" activePane="bottomRight" state="frozen"/>
    </x:sheetView>
  </x:sheetViews>
  <x:sheetFormatPr defaultRowHeight="15"/>
  <x:cols>
    <x:col min="1" max="1" width="40" hidden="0" customWidth="1"/>
    <x:col min="2" max="2" width="12" hidden="0" customWidth="1"/>
    <x:col min="3" max="3" width="8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5" hidden="0" customWidth="1"/>
    <x:col min="9" max="9" width="22" hidden="0" customWidth="1"/>
    <x:col min="10" max="10" width="65" hidden="0" customWidth="1"/>
    <x:col min="11" max="11" width="3" hidden="0" customWidth="1"/>
    <x:col min="12" max="12" width="70" hidden="0" customWidth="1"/>
    <x:col min="13" max="13" width="6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128채널 부양장치 부품별 예산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8" customHeight="1">
      <x:c r="A3" s="4" t="str">
        <x:v>16mm·40kHz 송신기 / 랑주뱅 제외 / 가격 조사 2026-10-01, 정리 2026-10-02 / 금액 원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8" customHeight="1">
      <x:c r="A5" s="8" t="str">
        <x:v>예산 요약</x:v>
      </x:c>
      <x:c r="B5" s="8"/>
      <x:c r="C5" s="8"/>
      <x:c r="D5" s="8"/>
      <x:c r="E5" s="8" t="str">
        <x:v>A 일반 PCB</x:v>
      </x:c>
      <x:c r="F5" s="8"/>
      <x:c r="G5" s="8" t="str">
        <x:v>B 만능기판</x:v>
      </x:c>
      <x:c r="H5" s="2"/>
      <x:c r="I5" s="2"/>
      <x:c r="J5" s="2"/>
      <x:c r="K5" s="2"/>
      <x:c r="L5" s="2"/>
      <x:c r="M5" s="2"/>
    </x:row>
    <x:row r="6" ht="28" customHeight="1">
      <x:c r="A6" s="2" t="str">
        <x:v>부품·제작·배송 합계</x:v>
      </x:c>
      <x:c r="B6" s="2"/>
      <x:c r="C6" s="2"/>
      <x:c r="D6" s="2"/>
      <x:c r="E6" s="12" t="n">
        <x:f>E44</x:f>
        <x:v>677200</x:v>
      </x:c>
      <x:c r="F6" s="2"/>
      <x:c r="G6" s="12" t="n">
        <x:f>G44</x:f>
        <x:v>787000</x:v>
      </x:c>
      <x:c r="H6" s="2"/>
      <x:c r="I6" s="2" t="str">
        <x:v>A: 전용 2층 PCB + 곡면 프레임 + 개별 배선</x:v>
      </x:c>
      <x:c r="J6" s="2"/>
      <x:c r="K6" s="2"/>
      <x:c r="L6" s="2"/>
      <x:c r="M6" s="2"/>
    </x:row>
    <x:row r="7" ht="28" customHeight="1">
      <x:c r="A7" s="2" t="str">
        <x:v>세금 여유분 반영</x:v>
      </x:c>
      <x:c r="B7" s="2"/>
      <x:c r="C7" s="2"/>
      <x:c r="D7" s="2"/>
      <x:c r="E7" s="12" t="n">
        <x:f>E6*(1+$E$10)</x:f>
        <x:v>744920.0000000001</x:v>
      </x:c>
      <x:c r="F7" s="2"/>
      <x:c r="G7" s="12" t="n">
        <x:f>G6*(1+$E$10)</x:f>
        <x:v>865700.0000000001</x:v>
      </x:c>
      <x:c r="H7" s="2"/>
      <x:c r="I7" s="2" t="str">
        <x:v>B: 전용 PCB 발주 없이 만능기판·변환기판 사용</x:v>
      </x:c>
      <x:c r="J7" s="2"/>
      <x:c r="K7" s="2"/>
      <x:c r="L7" s="2"/>
      <x:c r="M7" s="2"/>
    </x:row>
    <x:row r="8" ht="28" customHeight="1">
      <x:c r="A8" s="17" t="str">
        <x:v>예비비 포함 확보 예산</x:v>
      </x:c>
      <x:c r="B8" s="17"/>
      <x:c r="C8" s="17"/>
      <x:c r="D8" s="17"/>
      <x:c r="E8" s="18" t="n">
        <x:f>ROUNDUP(E7*(1+$E$11)/1000,0)*1000</x:f>
        <x:v>857000</x:v>
      </x:c>
      <x:c r="F8" s="17"/>
      <x:c r="G8" s="18" t="n">
        <x:f>ROUNDUP(G7*(1+$E$11)/1000,0)*1000</x:f>
        <x:v>996000</x:v>
      </x:c>
      <x:c r="H8" s="2"/>
      <x:c r="I8" s="2" t="str">
        <x:v>파란 숫자: 수정 가능한 수량·예산 단가</x:v>
      </x:c>
      <x:c r="J8" s="2"/>
      <x:c r="K8" s="2"/>
      <x:c r="L8" s="2"/>
      <x:c r="M8" s="2"/>
    </x:row>
    <x:row r="9" ht="28" customHeight="1">
      <x:c r="A9" s="2" t="str">
        <x:v>곡면 FPCB 추가 시 확보 예산</x:v>
      </x:c>
      <x:c r="B9" s="2"/>
      <x:c r="C9" s="2"/>
      <x:c r="D9" s="2"/>
      <x:c r="E9" s="12" t="n">
        <x:f>ROUNDUP((E6+E13)*(1+$E$10)*(1+$E$11)/1000,0)*1000</x:f>
        <x:v>1085000</x:v>
      </x:c>
      <x:c r="F9" s="2"/>
      <x:c r="G9" s="12" t="str">
        <x:v>해당 없음</x:v>
      </x:c>
      <x:c r="H9" s="2"/>
      <x:c r="I9" s="2" t="str">
        <x:v>세금은 준비금이며 결제 시 중복 포함 여부 확인</x:v>
      </x:c>
      <x:c r="J9" s="2"/>
      <x:c r="K9" s="2"/>
      <x:c r="L9" s="2"/>
      <x:c r="M9" s="2"/>
    </x:row>
    <x:row r="10" ht="28" customHeight="1">
      <x:c r="A10" s="2" t="str">
        <x:v>세금 여유 비율</x:v>
      </x:c>
      <x:c r="B10" s="2"/>
      <x:c r="C10" s="2"/>
      <x:c r="D10" s="2"/>
      <x:c r="E10" s="11" t="n">
        <x:v>0.1</x:v>
      </x:c>
      <x:c r="F10" s="2"/>
      <x:c r="G10" s="2"/>
      <x:c r="H10" s="2"/>
      <x:c r="I10" s="2"/>
      <x:c r="J10" s="2"/>
      <x:c r="K10" s="2"/>
      <x:c r="L10" s="2"/>
      <x:c r="M10" s="2"/>
    </x:row>
    <x:row r="11" ht="28" customHeight="1">
      <x:c r="A11" s="2" t="str">
        <x:v>예비비 비율</x:v>
      </x:c>
      <x:c r="B11" s="2"/>
      <x:c r="C11" s="2"/>
      <x:c r="D11" s="2"/>
      <x:c r="E11" s="11" t="n">
        <x:v>0.15</x:v>
      </x:c>
      <x:c r="F11" s="2"/>
      <x:c r="G11" s="2"/>
      <x:c r="H11" s="2"/>
      <x:c r="I11" s="2"/>
      <x:c r="J11" s="2"/>
      <x:c r="K11" s="2"/>
      <x:c r="L11" s="2"/>
      <x:c r="M11" s="2"/>
    </x:row>
    <x:row r="12" ht="28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8" customHeight="1">
      <x:c r="A13" s="2" t="str">
        <x:v>FPCB 4장 + 부분 보강판 추가비</x:v>
      </x:c>
      <x:c r="B13" s="2"/>
      <x:c r="C13" s="2"/>
      <x:c r="D13" s="2"/>
      <x:c r="E13" s="14" t="n">
        <x:v>180000</x:v>
      </x:c>
      <x:c r="F13" s="2"/>
      <x:c r="G13" s="2"/>
      <x:c r="H13" s="2"/>
      <x:c r="I13" s="2" t="str">
        <x:v>FPCB 추가비는 업체 견적 전 가정: 120,000~300,000원</x:v>
      </x:c>
      <x:c r="J13" s="2"/>
      <x:c r="K13" s="2"/>
      <x:c r="L13" s="2"/>
      <x:c r="M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38" customHeight="1">
      <x:c r="A15" s="8" t="str">
        <x:v>부품·제작 항목</x:v>
      </x:c>
      <x:c r="B15" s="8" t="str">
        <x:v>구매 수량</x:v>
      </x:c>
      <x:c r="C15" s="8" t="str">
        <x:v>단위</x:v>
      </x:c>
      <x:c r="D15" s="8" t="str">
        <x:v>A 단가</x:v>
      </x:c>
      <x:c r="E15" s="8" t="str">
        <x:v>A 금액</x:v>
      </x:c>
      <x:c r="F15" s="8" t="str">
        <x:v>B 단가</x:v>
      </x:c>
      <x:c r="G15" s="8" t="str">
        <x:v>B 금액</x:v>
      </x:c>
      <x:c r="H15" s="8" t="str">
        <x:v>B − A</x:v>
      </x:c>
      <x:c r="I15" s="8" t="str">
        <x:v>가격 성격</x:v>
      </x:c>
      <x:c r="J15" s="8" t="str">
        <x:v>선정·수량 근거</x:v>
      </x:c>
      <x:c r="K15" s="2"/>
      <x:c r="L15" s="8" t="str">
        <x:v>가격·기술 출처</x:v>
      </x:c>
      <x:c r="M15" s="8" t="str">
        <x:v>확인한 가격 / 가정</x:v>
      </x:c>
    </x:row>
    <x:row r="16" ht="56" customHeight="1">
      <x:c r="A16" s="23" t="str">
        <x:v>V40AN16T 송신기</x:v>
      </x:c>
      <x:c r="B16" s="24" t="n">
        <x:v>136</x:v>
      </x:c>
      <x:c r="C16" s="25" t="str">
        <x:v>개</x:v>
      </x:c>
      <x:c r="D16" s="26" t="n">
        <x:v>1400</x:v>
      </x:c>
      <x:c r="E16" s="27" t="n">
        <x:f>B16*D16</x:f>
        <x:v>190400</x:v>
      </x:c>
      <x:c r="F16" s="26" t="n">
        <x:v>1400</x:v>
      </x:c>
      <x:c r="G16" s="27" t="n">
        <x:f>B16*F16</x:f>
        <x:v>190400</x:v>
      </x:c>
      <x:c r="H16" s="27" t="n">
        <x:f>G16-E16</x:f>
        <x:v>0</x:v>
      </x:c>
      <x:c r="I16" s="25" t="str">
        <x:v>확인 판매가</x:v>
      </x:c>
      <x:c r="J16" s="23" t="str">
        <x:v>실장 128 + 여분 8, 수량별 판매가</x:v>
      </x:c>
      <x:c r="K16" s="2"/>
      <x:c r="L16" s="23" t="str">
        <x:v>https://www.icbanq.com/P008561920</x:v>
      </x:c>
      <x:c r="M16" s="23" t="str">
        <x:v>50~499개 단가 1,400원, VAT 별도</x:v>
      </x:c>
    </x:row>
    <x:row r="17" ht="56" customHeight="1">
      <x:c r="A17" s="22" t="str">
        <x:v>FPGA CoreEP4CE6급 코어보드</x:v>
      </x:c>
      <x:c r="B17" s="21" t="n">
        <x:v>1</x:v>
      </x:c>
      <x:c r="C17" s="2" t="str">
        <x:v>개</x:v>
      </x:c>
      <x:c r="D17" s="13" t="n">
        <x:v>60000</x:v>
      </x:c>
      <x:c r="E17" s="12" t="n">
        <x:f>B17*D17</x:f>
        <x:v>60000</x:v>
      </x:c>
      <x:c r="F17" s="13" t="n">
        <x:v>60000</x:v>
      </x:c>
      <x:c r="G17" s="12" t="n">
        <x:f>B17*F17</x:f>
        <x:v>60000</x:v>
      </x:c>
      <x:c r="H17" s="12" t="n">
        <x:f>G17-E17</x:f>
        <x:v>0</x:v>
      </x:c>
      <x:c r="I17" s="2" t="str">
        <x:v>판매가 참고 편성</x:v>
      </x:c>
      <x:c r="J17" s="22" t="str">
        <x:v>제조사 목록 $38.99 참고, 예산 환산 가정</x:v>
      </x:c>
      <x:c r="K17" s="2"/>
      <x:c r="L17" s="22" t="str">
        <x:v>https://www.waveshare.com/product/index.htm?dir=asc&amp;limit=12&amp;order=position&amp;p=23</x:v>
      </x:c>
      <x:c r="M17" s="22" t="str">
        <x:v>$38.99 참고, 예산 환산율 1,500원/USD, 실제 환율 아님</x:v>
      </x:c>
    </x:row>
    <x:row r="18" ht="56" customHeight="1">
      <x:c r="A18" s="23" t="str">
        <x:v>USB-UART, 3.3 V 논리</x:v>
      </x:c>
      <x:c r="B18" s="24" t="n">
        <x:v>1</x:v>
      </x:c>
      <x:c r="C18" s="25" t="str">
        <x:v>개</x:v>
      </x:c>
      <x:c r="D18" s="26" t="n">
        <x:v>5000</x:v>
      </x:c>
      <x:c r="E18" s="27" t="n">
        <x:f>B18*D18</x:f>
        <x:v>5000</x:v>
      </x:c>
      <x:c r="F18" s="26" t="n">
        <x:v>5000</x:v>
      </x:c>
      <x:c r="G18" s="27" t="n">
        <x:f>B18*F18</x:f>
        <x:v>5000</x:v>
      </x:c>
      <x:c r="H18" s="27" t="n">
        <x:f>G18-E18</x:f>
        <x:v>0</x:v>
      </x:c>
      <x:c r="I18" s="25" t="str">
        <x:v>판매가 참고 편성</x:v>
      </x:c>
      <x:c r="J18" s="23" t="str">
        <x:v>CP2102급, 판매가 참고 가정</x:v>
      </x:c>
      <x:c r="K18" s="2"/>
      <x:c r="L18" s="23" t="str">
        <x:v>https://www.devicemart.co.kr/goods/brand?category_code=00040002&amp;code=2753</x:v>
      </x:c>
      <x:c r="M18" s="23" t="str">
        <x:v>CP2102급 목록 참고, 논리 전압 별도 확인</x:v>
      </x:c>
    </x:row>
    <x:row r="19" ht="56" customHeight="1">
      <x:c r="A19" s="22" t="str">
        <x:v>12 V 5 A 밀폐형 어댑터</x:v>
      </x:c>
      <x:c r="B19" s="21" t="n">
        <x:v>1</x:v>
      </x:c>
      <x:c r="C19" s="2" t="str">
        <x:v>개</x:v>
      </x:c>
      <x:c r="D19" s="13" t="n">
        <x:v>12000</x:v>
      </x:c>
      <x:c r="E19" s="12" t="n">
        <x:f>B19*D19</x:f>
        <x:v>12000</x:v>
      </x:c>
      <x:c r="F19" s="13" t="n">
        <x:v>12000</x:v>
      </x:c>
      <x:c r="G19" s="12" t="n">
        <x:f>B19*F19</x:f>
        <x:v>12000</x:v>
      </x:c>
      <x:c r="H19" s="12" t="n">
        <x:f>G19-E19</x:f>
        <x:v>0</x:v>
      </x:c>
      <x:c r="I19" s="2" t="str">
        <x:v>판매가 참고 편성</x:v>
      </x:c>
      <x:c r="J19" s="22" t="str">
        <x:v>60 W급 예산용 용량, 소비전력 실측 후 확정</x:v>
      </x:c>
      <x:c r="K19" s="2"/>
      <x:c r="L19" s="22" t="str">
        <x:v>https://www.devicemart.co.kr/goods/view?no=15628851</x:v>
      </x:c>
      <x:c r="M19" s="22" t="str">
        <x:v>8,500원/VAT 포함 9,350원 제품 참고, 예산은 12,000원</x:v>
      </x:c>
    </x:row>
    <x:row r="20" ht="56" customHeight="1">
      <x:c r="A20" s="23" t="str">
        <x:v>12 V→5 V 강압 모듈</x:v>
      </x:c>
      <x:c r="B20" s="24" t="n">
        <x:v>1</x:v>
      </x:c>
      <x:c r="C20" s="25" t="str">
        <x:v>개</x:v>
      </x:c>
      <x:c r="D20" s="26" t="n">
        <x:v>6000</x:v>
      </x:c>
      <x:c r="E20" s="27" t="n">
        <x:f>B20*D20</x:f>
        <x:v>6000</x:v>
      </x:c>
      <x:c r="F20" s="26" t="n">
        <x:v>6000</x:v>
      </x:c>
      <x:c r="G20" s="27" t="n">
        <x:f>B20*F20</x:f>
        <x:v>6000</x:v>
      </x:c>
      <x:c r="H20" s="27" t="n">
        <x:f>G20-E20</x:f>
        <x:v>0</x:v>
      </x:c>
      <x:c r="I20" s="25" t="str">
        <x:v>견적 전 가정</x:v>
      </x:c>
      <x:c r="J20" s="23" t="str">
        <x:v>논리부 전원, 가격 가정</x:v>
      </x:c>
      <x:c r="K20" s="2"/>
      <x:c r="L20" s="23" t="str"/>
      <x:c r="M20" s="23" t="str">
        <x:v>품번·견적 미확정</x:v>
      </x:c>
    </x:row>
    <x:row r="21" ht="56" customHeight="1">
      <x:c r="A21" s="22" t="str">
        <x:v>전원 분배·스위치·퓨즈·역극성 보호</x:v>
      </x:c>
      <x:c r="B21" s="21" t="n">
        <x:v>1</x:v>
      </x:c>
      <x:c r="C21" s="2" t="str">
        <x:v>식</x:v>
      </x:c>
      <x:c r="D21" s="13" t="n">
        <x:v>12000</x:v>
      </x:c>
      <x:c r="E21" s="12" t="n">
        <x:f>B21*D21</x:f>
        <x:v>12000</x:v>
      </x:c>
      <x:c r="F21" s="13" t="n">
        <x:v>12000</x:v>
      </x:c>
      <x:c r="G21" s="12" t="n">
        <x:f>B21*F21</x:f>
        <x:v>12000</x:v>
      </x:c>
      <x:c r="H21" s="12" t="n">
        <x:f>G21-E21</x:f>
        <x:v>0</x:v>
      </x:c>
      <x:c r="I21" s="2" t="str">
        <x:v>견적 전 가정</x:v>
      </x:c>
      <x:c r="J21" s="22" t="str">
        <x:v>분배 단자, 퓨즈/홀더, 보호소자, 견적 전</x:v>
      </x:c>
      <x:c r="K21" s="2"/>
      <x:c r="L21" s="22" t="str"/>
      <x:c r="M21" s="22" t="str">
        <x:v>품번·견적 미확정</x:v>
      </x:c>
    </x:row>
    <x:row r="22" ht="56" customHeight="1">
      <x:c r="A22" s="23" t="str">
        <x:v>FPGA 헤더·보드 연결 부품</x:v>
      </x:c>
      <x:c r="B22" s="24" t="n">
        <x:v>1</x:v>
      </x:c>
      <x:c r="C22" s="25" t="str">
        <x:v>식</x:v>
      </x:c>
      <x:c r="D22" s="26" t="n">
        <x:v>5000</x:v>
      </x:c>
      <x:c r="E22" s="27" t="n">
        <x:f>B22*D22</x:f>
        <x:v>5000</x:v>
      </x:c>
      <x:c r="F22" s="26" t="n">
        <x:v>5000</x:v>
      </x:c>
      <x:c r="G22" s="27" t="n">
        <x:f>B22*F22</x:f>
        <x:v>5000</x:v>
      </x:c>
      <x:c r="H22" s="27" t="n">
        <x:f>G22-E22</x:f>
        <x:v>0</x:v>
      </x:c>
      <x:c r="I22" s="25" t="str">
        <x:v>견적 전 가정</x:v>
      </x:c>
      <x:c r="J22" s="23" t="str">
        <x:v>장착·핀 연결, 견적 전</x:v>
      </x:c>
      <x:c r="K22" s="2"/>
      <x:c r="L22" s="23" t="str"/>
      <x:c r="M22" s="23" t="str">
        <x:v>품번·견적 미확정</x:v>
      </x:c>
    </x:row>
    <x:row r="23" ht="56" customHeight="1">
      <x:c r="A23" s="22" t="str">
        <x:v>클록·제어 버퍼, 74AHCT125급</x:v>
      </x:c>
      <x:c r="B23" s="21" t="n">
        <x:v>4</x:v>
      </x:c>
      <x:c r="C23" s="2" t="str">
        <x:v>개</x:v>
      </x:c>
      <x:c r="D23" s="13" t="n">
        <x:v>1000</x:v>
      </x:c>
      <x:c r="E23" s="12" t="n">
        <x:f>B23*D23</x:f>
        <x:v>4000</x:v>
      </x:c>
      <x:c r="F23" s="13" t="n">
        <x:v>1000</x:v>
      </x:c>
      <x:c r="G23" s="12" t="n">
        <x:f>B23*F23</x:f>
        <x:v>4000</x:v>
      </x:c>
      <x:c r="H23" s="12" t="n">
        <x:f>G23-E23</x:f>
        <x:v>0</x:v>
      </x:c>
      <x:c r="I23" s="2" t="str">
        <x:v>견적 전 가정</x:v>
      </x:c>
      <x:c r="J23" s="22" t="str">
        <x:v>네 패널 분배 가정, 가격 가정</x:v>
      </x:c>
      <x:c r="K23" s="2"/>
      <x:c r="L23" s="22" t="str">
        <x:v>https://www.ti.com/product/SN74AHCT125</x:v>
      </x:c>
      <x:c r="M23" s="22" t="str">
        <x:v>분배 버퍼 후보, 가격은 가정</x:v>
      </x:c>
    </x:row>
    <x:row r="24" ht="56" customHeight="1">
      <x:c r="A24" s="23" t="str">
        <x:v>풀다운·풀업·직렬 댐핑 저항</x:v>
      </x:c>
      <x:c r="B24" s="24" t="n">
        <x:v>180</x:v>
      </x:c>
      <x:c r="C24" s="25" t="str">
        <x:v>개</x:v>
      </x:c>
      <x:c r="D24" s="26" t="n">
        <x:v>30</x:v>
      </x:c>
      <x:c r="E24" s="27" t="n">
        <x:f>B24*D24</x:f>
        <x:v>5400</x:v>
      </x:c>
      <x:c r="F24" s="26" t="n">
        <x:v>30</x:v>
      </x:c>
      <x:c r="G24" s="27" t="n">
        <x:f>B24*F24</x:f>
        <x:v>5400</x:v>
      </x:c>
      <x:c r="H24" s="27" t="n">
        <x:f>G24-E24</x:f>
        <x:v>0</x:v>
      </x:c>
      <x:c r="I24" s="25" t="str">
        <x:v>견적 전 가정</x:v>
      </x:c>
      <x:c r="J24" s="23" t="str">
        <x:v>입력 128 + 제어 32 + 댐핑·여분 20, 가정</x:v>
      </x:c>
      <x:c r="K24" s="2"/>
      <x:c r="L24" s="23" t="str"/>
      <x:c r="M24" s="23" t="str">
        <x:v>품번·견적 미확정</x:v>
      </x:c>
    </x:row>
    <x:row r="25" ht="56" customHeight="1">
      <x:c r="A25" s="22" t="str">
        <x:v>0.1 µF 세라믹</x:v>
      </x:c>
      <x:c r="B25" s="21" t="n">
        <x:v>100</x:v>
      </x:c>
      <x:c r="C25" s="2" t="str">
        <x:v>개</x:v>
      </x:c>
      <x:c r="D25" s="13" t="n">
        <x:v>100</x:v>
      </x:c>
      <x:c r="E25" s="12" t="n">
        <x:f>B25*D25</x:f>
        <x:v>10000</x:v>
      </x:c>
      <x:c r="F25" s="13" t="n">
        <x:v>150</x:v>
      </x:c>
      <x:c r="G25" s="12" t="n">
        <x:f>B25*F25</x:f>
        <x:v>15000</x:v>
      </x:c>
      <x:c r="H25" s="12" t="n">
        <x:f>G25-E25</x:f>
        <x:v>5000</x:v>
      </x:c>
      <x:c r="I25" s="2" t="str">
        <x:v>견적 전 가정</x:v>
      </x:c>
      <x:c r="J25" s="22" t="str">
        <x:v>실장 84 + 여분 16, SMD/리드형 가격 가정</x:v>
      </x:c>
      <x:c r="K25" s="2"/>
      <x:c r="L25" s="22" t="str"/>
      <x:c r="M25" s="22" t="str">
        <x:v>품번·견적 미확정</x:v>
      </x:c>
    </x:row>
    <x:row r="26" ht="56" customHeight="1">
      <x:c r="A26" s="23" t="str">
        <x:v>1 µF 로컬 바이패스</x:v>
      </x:c>
      <x:c r="B26" s="24" t="n">
        <x:v>70</x:v>
      </x:c>
      <x:c r="C26" s="25" t="str">
        <x:v>개</x:v>
      </x:c>
      <x:c r="D26" s="26" t="n">
        <x:v>250</x:v>
      </x:c>
      <x:c r="E26" s="27" t="n">
        <x:f>B26*D26</x:f>
        <x:v>17500</x:v>
      </x:c>
      <x:c r="F26" s="26" t="n">
        <x:v>350</x:v>
      </x:c>
      <x:c r="G26" s="27" t="n">
        <x:f>B26*F26</x:f>
        <x:v>24500</x:v>
      </x:c>
      <x:c r="H26" s="27" t="n">
        <x:f>G26-E26</x:f>
        <x:v>7000</x:v>
      </x:c>
      <x:c r="I26" s="25" t="str">
        <x:v>견적 전 가정</x:v>
      </x:c>
      <x:c r="J26" s="23" t="str">
        <x:v>드라이버 64 + 여분 6, SMD X7R/필름급 가정</x:v>
      </x:c>
      <x:c r="K26" s="2"/>
      <x:c r="L26" s="23" t="str"/>
      <x:c r="M26" s="23" t="str">
        <x:v>품번·견적 미확정</x:v>
      </x:c>
    </x:row>
    <x:row r="27" ht="56" customHeight="1">
      <x:c r="A27" s="22" t="str">
        <x:v>220 µF, 25 V 전해</x:v>
      </x:c>
      <x:c r="B27" s="21" t="n">
        <x:v>18</x:v>
      </x:c>
      <x:c r="C27" s="2" t="str">
        <x:v>개</x:v>
      </x:c>
      <x:c r="D27" s="13" t="n">
        <x:v>350</x:v>
      </x:c>
      <x:c r="E27" s="12" t="n">
        <x:f>B27*D27</x:f>
        <x:v>6300</x:v>
      </x:c>
      <x:c r="F27" s="13" t="n">
        <x:v>350</x:v>
      </x:c>
      <x:c r="G27" s="12" t="n">
        <x:f>B27*F27</x:f>
        <x:v>6300</x:v>
      </x:c>
      <x:c r="H27" s="12" t="n">
        <x:f>G27-E27</x:f>
        <x:v>0</x:v>
      </x:c>
      <x:c r="I27" s="2" t="str">
        <x:v>견적 전 가정</x:v>
      </x:c>
      <x:c r="J27" s="22" t="str">
        <x:v>8채널 모듈 16 + 여분 2, 예산 단가</x:v>
      </x:c>
      <x:c r="K27" s="2"/>
      <x:c r="L27" s="22" t="str"/>
      <x:c r="M27" s="22" t="str">
        <x:v>품번·견적 미확정</x:v>
      </x:c>
    </x:row>
    <x:row r="28" ht="56" customHeight="1">
      <x:c r="A28" s="23" t="str">
        <x:v>1,000 µF, 25 V 전해</x:v>
      </x:c>
      <x:c r="B28" s="24" t="n">
        <x:v>2</x:v>
      </x:c>
      <x:c r="C28" s="25" t="str">
        <x:v>개</x:v>
      </x:c>
      <x:c r="D28" s="26" t="n">
        <x:v>800</x:v>
      </x:c>
      <x:c r="E28" s="27" t="n">
        <x:f>B28*D28</x:f>
        <x:v>1600</x:v>
      </x:c>
      <x:c r="F28" s="26" t="n">
        <x:v>800</x:v>
      </x:c>
      <x:c r="G28" s="27" t="n">
        <x:f>B28*F28</x:f>
        <x:v>1600</x:v>
      </x:c>
      <x:c r="H28" s="27" t="n">
        <x:f>G28-E28</x:f>
        <x:v>0</x:v>
      </x:c>
      <x:c r="I28" s="25" t="str">
        <x:v>견적 전 가정</x:v>
      </x:c>
      <x:c r="J28" s="23" t="str">
        <x:v>중앙 전원 1 + 여분 1, 예산 단가</x:v>
      </x:c>
      <x:c r="K28" s="2"/>
      <x:c r="L28" s="23" t="str"/>
      <x:c r="M28" s="23" t="str">
        <x:v>품번·견적 미확정</x:v>
      </x:c>
    </x:row>
    <x:row r="29" ht="56" customHeight="1">
      <x:c r="A29" s="22" t="str">
        <x:v>47 µF, 16 V 전해</x:v>
      </x:c>
      <x:c r="B29" s="21" t="n">
        <x:v>5</x:v>
      </x:c>
      <x:c r="C29" s="2" t="str">
        <x:v>개</x:v>
      </x:c>
      <x:c r="D29" s="13" t="n">
        <x:v>200</x:v>
      </x:c>
      <x:c r="E29" s="12" t="n">
        <x:f>B29*D29</x:f>
        <x:v>1000</x:v>
      </x:c>
      <x:c r="F29" s="13" t="n">
        <x:v>200</x:v>
      </x:c>
      <x:c r="G29" s="12" t="n">
        <x:f>B29*F29</x:f>
        <x:v>1000</x:v>
      </x:c>
      <x:c r="H29" s="12" t="n">
        <x:f>G29-E29</x:f>
        <x:v>0</x:v>
      </x:c>
      <x:c r="I29" s="2" t="str">
        <x:v>견적 전 가정</x:v>
      </x:c>
      <x:c r="J29" s="22" t="str">
        <x:v>네 논리 분기 4 + 여분 1, 예산 단가</x:v>
      </x:c>
      <x:c r="K29" s="2"/>
      <x:c r="L29" s="22" t="str"/>
      <x:c r="M29" s="22" t="str">
        <x:v>품번·견적 미확정</x:v>
      </x:c>
    </x:row>
    <x:row r="30" ht="56" customHeight="1">
      <x:c r="A30" s="23" t="str">
        <x:v>TC4427A 듀얼 드라이버</x:v>
      </x:c>
      <x:c r="B30" s="24" t="n">
        <x:v>68</x:v>
      </x:c>
      <x:c r="C30" s="25" t="str">
        <x:v>개</x:v>
      </x:c>
      <x:c r="D30" s="26" t="n">
        <x:v>1800</x:v>
      </x:c>
      <x:c r="E30" s="27" t="n">
        <x:f>B30*D30</x:f>
        <x:v>122400</x:v>
      </x:c>
      <x:c r="F30" s="26" t="n">
        <x:v>2350</x:v>
      </x:c>
      <x:c r="G30" s="27" t="n">
        <x:f>B30*F30</x:f>
        <x:v>159800</x:v>
      </x:c>
      <x:c r="H30" s="27" t="n">
        <x:f>G30-E30</x:f>
        <x:v>37400</x:v>
      </x:c>
      <x:c r="I30" s="25" t="str">
        <x:v>판매가 참고 편성</x:v>
      </x:c>
      <x:c r="J30" s="23" t="str">
        <x:v>실장 64 + 여분 4, A SOIC/B DIP 판매가 참고</x:v>
      </x:c>
      <x:c r="K30" s="2"/>
      <x:c r="L30" s="23" t="str">
        <x:v>https://www.digikey.kr/ko/products/detail/microchip-technology/TC4427ACOA/418664</x:v>
      </x:c>
      <x:c r="M30" s="23" t="str">
        <x:v>SOIC 25개 구간 1,758.12원 참고; DIP 2,304.24원 참고</x:v>
      </x:c>
    </x:row>
    <x:row r="31" ht="56" customHeight="1">
      <x:c r="A31" s="22" t="str">
        <x:v>74HCT595 계열 시프트 레지스터</x:v>
      </x:c>
      <x:c r="B31" s="21" t="n">
        <x:v>18</x:v>
      </x:c>
      <x:c r="C31" s="2" t="str">
        <x:v>개</x:v>
      </x:c>
      <x:c r="D31" s="13" t="n">
        <x:v>700</x:v>
      </x:c>
      <x:c r="E31" s="12" t="n">
        <x:f>B31*D31</x:f>
        <x:v>12600</x:v>
      </x:c>
      <x:c r="F31" s="13" t="n">
        <x:v>900</x:v>
      </x:c>
      <x:c r="G31" s="12" t="n">
        <x:f>B31*F31</x:f>
        <x:v>16200</x:v>
      </x:c>
      <x:c r="H31" s="12" t="n">
        <x:f>G31-E31</x:f>
        <x:v>3600</x:v>
      </x:c>
      <x:c r="I31" s="2" t="str">
        <x:v>판매가 참고 편성</x:v>
      </x:c>
      <x:c r="J31" s="22" t="str">
        <x:v>실장 16 + 여분 2, B는 SOIC 변환기판 사용</x:v>
      </x:c>
      <x:c r="K31" s="2"/>
      <x:c r="L31" s="22" t="str">
        <x:v>https://www.digikey.kr/ko/products/detail/nexperia-usa-inc/74HCT595D-118/763413</x:v>
      </x:c>
      <x:c r="M31" s="22" t="str">
        <x:v>SOIC 10개 구간 602.10원 참고; B도 SOIC + 변환기판</x:v>
      </x:c>
    </x:row>
    <x:row r="32" ht="56" customHeight="1">
      <x:c r="A32" s="23" t="str">
        <x:v>전용 일반 2층 PCB 제조</x:v>
      </x:c>
      <x:c r="B32" s="24" t="n">
        <x:v>1</x:v>
      </x:c>
      <x:c r="C32" s="25" t="str">
        <x:v>식</x:v>
      </x:c>
      <x:c r="D32" s="26" t="n">
        <x:v>60000</x:v>
      </x:c>
      <x:c r="E32" s="27" t="n">
        <x:f>B32*D32</x:f>
        <x:v>60000</x:v>
      </x:c>
      <x:c r="F32" s="26" t="n">
        <x:v>0</x:v>
      </x:c>
      <x:c r="G32" s="27" t="n">
        <x:f>B32*F32</x:f>
        <x:v>0</x:v>
      </x:c>
      <x:c r="H32" s="27" t="n">
        <x:f>G32-E32</x:f>
        <x:v>-60000</x:v>
      </x:c>
      <x:c r="I32" s="25" t="str">
        <x:v>견적 전 가정</x:v>
      </x:c>
      <x:c r="J32" s="23" t="str">
        <x:v>8채널 16장 + 소형 분배/제어 연결 PCB, 견적 전</x:v>
      </x:c>
      <x:c r="K32" s="2"/>
      <x:c r="L32" s="23" t="str"/>
      <x:c r="M32" s="23" t="str">
        <x:v>PCB 16장 + 분배용, 40,000~100,000원 범위 가정</x:v>
      </x:c>
    </x:row>
    <x:row r="33" ht="56" customHeight="1">
      <x:c r="A33" s="22" t="str">
        <x:v>8채널용 만능기판</x:v>
      </x:c>
      <x:c r="B33" s="21" t="n">
        <x:v>16</x:v>
      </x:c>
      <x:c r="C33" s="2" t="str">
        <x:v>장</x:v>
      </x:c>
      <x:c r="D33" s="13" t="n">
        <x:v>0</x:v>
      </x:c>
      <x:c r="E33" s="12" t="n">
        <x:f>B33*D33</x:f>
        <x:v>0</x:v>
      </x:c>
      <x:c r="F33" s="13" t="n">
        <x:v>4000</x:v>
      </x:c>
      <x:c r="G33" s="12" t="n">
        <x:f>B33*F33</x:f>
        <x:v>64000</x:v>
      </x:c>
      <x:c r="H33" s="12" t="n">
        <x:f>G33-E33</x:f>
        <x:v>64000</x:v>
      </x:c>
      <x:c r="I33" s="2" t="str">
        <x:v>판매가 참고 편성</x:v>
      </x:c>
      <x:c r="J33" s="22" t="str">
        <x:v>B의 반복 모듈, 판매가 참고 가정</x:v>
      </x:c>
      <x:c r="K33" s="2"/>
      <x:c r="L33" s="22" t="str">
        <x:v>https://www.devicemart.co.kr/goods/brand?category_code=0009&amp;code=1173&amp;display_style=lattice_a&amp;iframe=&amp;page=1&amp;popup=&amp;setMode=mobile&amp;sort=newly</x:v>
      </x:c>
      <x:c r="M33" s="22" t="str">
        <x:v>50×100mm급 3,900원 참고, 크기·최종 단가 미확정</x:v>
      </x:c>
    </x:row>
    <x:row r="34" ht="56" customHeight="1">
      <x:c r="A34" s="23" t="str">
        <x:v>전원·클록용 만능기판</x:v>
      </x:c>
      <x:c r="B34" s="24" t="n">
        <x:v>1</x:v>
      </x:c>
      <x:c r="C34" s="25" t="str">
        <x:v>장</x:v>
      </x:c>
      <x:c r="D34" s="26" t="n">
        <x:v>0</x:v>
      </x:c>
      <x:c r="E34" s="27" t="n">
        <x:f>B34*D34</x:f>
        <x:v>0</x:v>
      </x:c>
      <x:c r="F34" s="26" t="n">
        <x:v>4000</x:v>
      </x:c>
      <x:c r="G34" s="27" t="n">
        <x:f>B34*F34</x:f>
        <x:v>4000</x:v>
      </x:c>
      <x:c r="H34" s="27" t="n">
        <x:f>G34-E34</x:f>
        <x:v>4000</x:v>
      </x:c>
      <x:c r="I34" s="25" t="str">
        <x:v>견적 전 가정</x:v>
      </x:c>
      <x:c r="J34" s="23" t="str">
        <x:v>B의 분배부, 가정</x:v>
      </x:c>
      <x:c r="K34" s="2"/>
      <x:c r="L34" s="23" t="str"/>
      <x:c r="M34" s="23" t="str">
        <x:v>도면·품번·주문 조합 미확정</x:v>
      </x:c>
    </x:row>
    <x:row r="35" ht="56" customHeight="1">
      <x:c r="A35" s="22" t="str">
        <x:v>SOIC16→2.54 mm 변환기판</x:v>
      </x:c>
      <x:c r="B35" s="21" t="n">
        <x:v>18</x:v>
      </x:c>
      <x:c r="C35" s="2" t="str">
        <x:v>장</x:v>
      </x:c>
      <x:c r="D35" s="13" t="n">
        <x:v>0</x:v>
      </x:c>
      <x:c r="E35" s="12" t="n">
        <x:f>B35*D35</x:f>
        <x:v>0</x:v>
      </x:c>
      <x:c r="F35" s="13" t="n">
        <x:v>500</x:v>
      </x:c>
      <x:c r="G35" s="12" t="n">
        <x:f>B35*F35</x:f>
        <x:v>9000</x:v>
      </x:c>
      <x:c r="H35" s="12" t="n">
        <x:f>G35-E35</x:f>
        <x:v>9000</x:v>
      </x:c>
      <x:c r="I35" s="2" t="str">
        <x:v>견적 전 가정</x:v>
      </x:c>
      <x:c r="J35" s="22" t="str">
        <x:v>B의 HCT595 실장, 가정</x:v>
      </x:c>
      <x:c r="K35" s="2"/>
      <x:c r="L35" s="22" t="str"/>
      <x:c r="M35" s="22" t="str">
        <x:v>도면·품번·주문 조합 미확정</x:v>
      </x:c>
    </x:row>
    <x:row r="36" ht="56" customHeight="1">
      <x:c r="A36" s="23" t="str">
        <x:v>DIP8 드라이버 소켓</x:v>
      </x:c>
      <x:c r="B36" s="24" t="n">
        <x:v>68</x:v>
      </x:c>
      <x:c r="C36" s="25" t="str">
        <x:v>개</x:v>
      </x:c>
      <x:c r="D36" s="26" t="n">
        <x:v>0</x:v>
      </x:c>
      <x:c r="E36" s="27" t="n">
        <x:f>B36*D36</x:f>
        <x:v>0</x:v>
      </x:c>
      <x:c r="F36" s="26" t="n">
        <x:v>150</x:v>
      </x:c>
      <x:c r="G36" s="27" t="n">
        <x:f>B36*F36</x:f>
        <x:v>10200</x:v>
      </x:c>
      <x:c r="H36" s="27" t="n">
        <x:f>G36-E36</x:f>
        <x:v>10200</x:v>
      </x:c>
      <x:c r="I36" s="25" t="str">
        <x:v>견적 전 가정</x:v>
      </x:c>
      <x:c r="J36" s="23" t="str">
        <x:v>B의 실장·여분, 선택적이나 포함</x:v>
      </x:c>
      <x:c r="K36" s="2"/>
      <x:c r="L36" s="23" t="str"/>
      <x:c r="M36" s="23" t="str">
        <x:v>도면·품번·주문 조합 미확정</x:v>
      </x:c>
    </x:row>
    <x:row r="37" ht="56" customHeight="1">
      <x:c r="A37" s="22" t="str">
        <x:v>버퍼 IC 소켓</x:v>
      </x:c>
      <x:c r="B37" s="21" t="n">
        <x:v>4</x:v>
      </x:c>
      <x:c r="C37" s="2" t="str">
        <x:v>개</x:v>
      </x:c>
      <x:c r="D37" s="13" t="n">
        <x:v>0</x:v>
      </x:c>
      <x:c r="E37" s="12" t="n">
        <x:f>B37*D37</x:f>
        <x:v>0</x:v>
      </x:c>
      <x:c r="F37" s="13" t="n">
        <x:v>150</x:v>
      </x:c>
      <x:c r="G37" s="12" t="n">
        <x:f>B37*F37</x:f>
        <x:v>600</x:v>
      </x:c>
      <x:c r="H37" s="12" t="n">
        <x:f>G37-E37</x:f>
        <x:v>600</x:v>
      </x:c>
      <x:c r="I37" s="2" t="str">
        <x:v>견적 전 가정</x:v>
      </x:c>
      <x:c r="J37" s="22" t="str">
        <x:v>B DIP 버퍼 장착 가정</x:v>
      </x:c>
      <x:c r="K37" s="2"/>
      <x:c r="L37" s="22" t="str"/>
      <x:c r="M37" s="22" t="str">
        <x:v>도면·품번·주문 조합 미확정</x:v>
      </x:c>
    </x:row>
    <x:row r="38" ht="56" customHeight="1">
      <x:c r="A38" s="23" t="str">
        <x:v>신호·출력·전원 커넥터 및 접점</x:v>
      </x:c>
      <x:c r="B38" s="24" t="n">
        <x:v>1</x:v>
      </x:c>
      <x:c r="C38" s="25" t="str">
        <x:v>식</x:v>
      </x:c>
      <x:c r="D38" s="26" t="n">
        <x:v>36000</x:v>
      </x:c>
      <x:c r="E38" s="27" t="n">
        <x:f>B38*D38</x:f>
        <x:v>36000</x:v>
      </x:c>
      <x:c r="F38" s="26" t="n">
        <x:v>50000</x:v>
      </x:c>
      <x:c r="G38" s="27" t="n">
        <x:f>B38*F38</x:f>
        <x:v>50000</x:v>
      </x:c>
      <x:c r="H38" s="27" t="n">
        <x:f>G38-E38</x:f>
        <x:v>14000</x:v>
      </x:c>
      <x:c r="I38" s="25" t="str">
        <x:v>견적 전 가정</x:v>
      </x:c>
      <x:c r="J38" s="23" t="str">
        <x:v>아래 커넥터 범위 기준, 견적 전</x:v>
      </x:c>
      <x:c r="K38" s="2"/>
      <x:c r="L38" s="23" t="str"/>
      <x:c r="M38" s="23" t="str">
        <x:v>도면·품번·주문 조합 미확정</x:v>
      </x:c>
    </x:row>
    <x:row r="39" ht="56" customHeight="1">
      <x:c r="A39" s="22" t="str">
        <x:v>전원선·신호 케이블·출력선</x:v>
      </x:c>
      <x:c r="B39" s="21" t="n">
        <x:v>1</x:v>
      </x:c>
      <x:c r="C39" s="2" t="str">
        <x:v>식</x:v>
      </x:c>
      <x:c r="D39" s="13" t="n">
        <x:v>15000</x:v>
      </x:c>
      <x:c r="E39" s="12" t="n">
        <x:f>B39*D39</x:f>
        <x:v>15000</x:v>
      </x:c>
      <x:c r="F39" s="13" t="n">
        <x:v>30000</x:v>
      </x:c>
      <x:c r="G39" s="12" t="n">
        <x:f>B39*F39</x:f>
        <x:v>30000</x:v>
      </x:c>
      <x:c r="H39" s="12" t="n">
        <x:f>G39-E39</x:f>
        <x:v>15000</x:v>
      </x:c>
      <x:c r="I39" s="2" t="str">
        <x:v>견적 전 가정</x:v>
      </x:c>
      <x:c r="J39" s="22" t="str">
        <x:v>길이 미확정, B 내부 점퍼 포함</x:v>
      </x:c>
      <x:c r="K39" s="2"/>
      <x:c r="L39" s="22" t="str"/>
      <x:c r="M39" s="22" t="str">
        <x:v>도면·품번·주문 조합 미확정</x:v>
      </x:c>
    </x:row>
    <x:row r="40" ht="56" customHeight="1">
      <x:c r="A40" s="23" t="str">
        <x:v>90° 곡면 프레임 출력</x:v>
      </x:c>
      <x:c r="B40" s="24" t="n">
        <x:v>4</x:v>
      </x:c>
      <x:c r="C40" s="25" t="str">
        <x:v>개</x:v>
      </x:c>
      <x:c r="D40" s="26" t="n">
        <x:v>12500</x:v>
      </x:c>
      <x:c r="E40" s="27" t="n">
        <x:f>B40*D40</x:f>
        <x:v>50000</x:v>
      </x:c>
      <x:c r="F40" s="26" t="n">
        <x:v>12500</x:v>
      </x:c>
      <x:c r="G40" s="27" t="n">
        <x:f>B40*F40</x:f>
        <x:v>50000</x:v>
      </x:c>
      <x:c r="H40" s="27" t="n">
        <x:f>G40-E40</x:f>
        <x:v>0</x:v>
      </x:c>
      <x:c r="I40" s="25" t="str">
        <x:v>견적 전 가정</x:v>
      </x:c>
      <x:c r="J40" s="23" t="str">
        <x:v>자체 출력/저가 외주 수준 가정, 견적 전</x:v>
      </x:c>
      <x:c r="K40" s="2"/>
      <x:c r="L40" s="23" t="str"/>
      <x:c r="M40" s="23" t="str">
        <x:v>도면·품번·주문 조합 미확정</x:v>
      </x:c>
    </x:row>
    <x:row r="41" ht="56" customHeight="1">
      <x:c r="A41" s="22" t="str">
        <x:v>볼트·너트·지지대·배선 고정재</x:v>
      </x:c>
      <x:c r="B41" s="21" t="n">
        <x:v>1</x:v>
      </x:c>
      <x:c r="C41" s="2" t="str">
        <x:v>식</x:v>
      </x:c>
      <x:c r="D41" s="13" t="n">
        <x:v>8000</x:v>
      </x:c>
      <x:c r="E41" s="12" t="n">
        <x:f>B41*D41</x:f>
        <x:v>8000</x:v>
      </x:c>
      <x:c r="F41" s="13" t="n">
        <x:v>8000</x:v>
      </x:c>
      <x:c r="G41" s="12" t="n">
        <x:f>B41*F41</x:f>
        <x:v>8000</x:v>
      </x:c>
      <x:c r="H41" s="12" t="n">
        <x:f>G41-E41</x:f>
        <x:v>0</x:v>
      </x:c>
      <x:c r="I41" s="2" t="str">
        <x:v>견적 전 가정</x:v>
      </x:c>
      <x:c r="J41" s="22" t="str">
        <x:v>기구 조립, 견적 전</x:v>
      </x:c>
      <x:c r="K41" s="2"/>
      <x:c r="L41" s="22" t="str"/>
      <x:c r="M41" s="22" t="str">
        <x:v>도면·품번·주문 조합 미확정</x:v>
      </x:c>
    </x:row>
    <x:row r="42" ht="56" customHeight="1">
      <x:c r="A42" s="23" t="str">
        <x:v>납·플럭스·수축튜브·절연 소모품</x:v>
      </x:c>
      <x:c r="B42" s="24" t="n">
        <x:v>1</x:v>
      </x:c>
      <x:c r="C42" s="25" t="str">
        <x:v>식</x:v>
      </x:c>
      <x:c r="D42" s="26" t="n">
        <x:v>12000</x:v>
      </x:c>
      <x:c r="E42" s="27" t="n">
        <x:f>B42*D42</x:f>
        <x:v>12000</x:v>
      </x:c>
      <x:c r="F42" s="26" t="n">
        <x:v>12000</x:v>
      </x:c>
      <x:c r="G42" s="27" t="n">
        <x:f>B42*F42</x:f>
        <x:v>12000</x:v>
      </x:c>
      <x:c r="H42" s="27" t="n">
        <x:f>G42-E42</x:f>
        <x:v>0</x:v>
      </x:c>
      <x:c r="I42" s="25" t="str">
        <x:v>견적 전 가정</x:v>
      </x:c>
      <x:c r="J42" s="23" t="str">
        <x:v>인두기 본체 제외, 가정</x:v>
      </x:c>
      <x:c r="K42" s="2"/>
      <x:c r="L42" s="23" t="str"/>
      <x:c r="M42" s="23" t="str">
        <x:v>도면·품번·주문 조합 미확정</x:v>
      </x:c>
    </x:row>
    <x:row r="43" ht="56" customHeight="1">
      <x:c r="A43" s="22" t="str">
        <x:v>국내·해외 배송 예산</x:v>
      </x:c>
      <x:c r="B43" s="21" t="n">
        <x:v>1</x:v>
      </x:c>
      <x:c r="C43" s="2" t="str">
        <x:v>식</x:v>
      </x:c>
      <x:c r="D43" s="13" t="n">
        <x:v>25000</x:v>
      </x:c>
      <x:c r="E43" s="12" t="n">
        <x:f>B43*D43</x:f>
        <x:v>25000</x:v>
      </x:c>
      <x:c r="F43" s="13" t="n">
        <x:v>25000</x:v>
      </x:c>
      <x:c r="G43" s="12" t="n">
        <x:f>B43*F43</x:f>
        <x:v>25000</x:v>
      </x:c>
      <x:c r="H43" s="12" t="n">
        <x:f>G43-E43</x:f>
        <x:v>0</x:v>
      </x:c>
      <x:c r="I43" s="2" t="str">
        <x:v>견적 전 가정</x:v>
      </x:c>
      <x:c r="J43" s="22" t="str">
        <x:v>주문처 합배송 등에 따라 변경</x:v>
      </x:c>
      <x:c r="K43" s="2"/>
      <x:c r="L43" s="22" t="str"/>
      <x:c r="M43" s="22" t="str">
        <x:v>도면·품번·주문 조합 미확정</x:v>
      </x:c>
    </x:row>
    <x:row r="44" ht="28" customHeight="1">
      <x:c r="A44" s="16" t="str">
        <x:v>합계</x:v>
      </x:c>
      <x:c r="B44" s="16"/>
      <x:c r="C44" s="16"/>
      <x:c r="D44" s="20"/>
      <x:c r="E44" s="20" t="n">
        <x:f>SUM(E16:E43)</x:f>
        <x:v>677200</x:v>
      </x:c>
      <x:c r="F44" s="20"/>
      <x:c r="G44" s="20" t="n">
        <x:f>SUM(G16:G43)</x:f>
        <x:v>787000</x:v>
      </x:c>
      <x:c r="H44" s="20" t="n">
        <x:f>SUM(H16:H43)</x:f>
        <x:v>109800</x:v>
      </x:c>
      <x:c r="I44" s="16"/>
      <x:c r="J44" s="16"/>
      <x:c r="K44" s="2"/>
      <x:c r="L44" s="2"/>
      <x:c r="M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8" customHeight="1">
      <x:c r="A47" s="2" t="str">
        <x:v>범위: 직접 설계·조립 기준. 구동 회로, 전원, 통신, 곡면 프레임, 배선, 소모품, 여분 및 배송 포함.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8" customHeight="1">
      <x:c r="A48" s="2" t="str">
        <x:v>제외: PC·카메라·이동 기구·함수발생기·인두기·계측기·인건비·외주 설계/실장/펌웨어 개발비.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8" customHeight="1">
      <x:c r="A49" s="2" t="str">
        <x:v>12V 5A 전원과 FPCB/프레임/PCB 제작비는 초기 가정. 도면, 부양 대상, 실측 소비전력으로 확정.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8" customHeight="1">
      <x:c r="A50" s="2" t="str">
        <x:v>128개 독립 제어: 8채널 모듈 16개, 듀얼 드라이버 실장 64개, 시프트 레지스터 실장 16개.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8" customHeight="1">
      <x:c r="A51" s="2" t="str">
        <x:v>16mm 트랜스듀서로 목표 물체의 부양 성능을 검증한 결과는 아직 없음. 연속 구동 정격 확인 필요.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8" customHeight="1">
      <x:c r="A52" s="2" t="str">
        <x:v>10.24MHz 시프트 클록 기준. 만능기판은 8채널 모듈부터 파형과 배선을 검증.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8" customHeight="1">
      <x:c r="A53" s="2" t="str">
        <x:v>USB-Blaster FPGA 기록기는 보유/대여 조건. 새로 구매하면 도구 비용 별도.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8" customHeight="1">
      <x:c r="A54" s="2" t="str">
        <x:v>IC 가격은 조사 당시 수량별 표기/일부 검색 캐시 참고. 최종 재고·세금·가격은 결제 시 확인.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683A1"/>
  </x:sheetPr>
  <x:sheetViews>
    <x:sheetView showGridLines="0" workbookViewId="0"/>
  </x:sheetViews>
  <x:sheetFormatPr defaultRowHeight="15"/>
  <x:cols>
    <x:col min="1" max="1" width="43" hidden="0" customWidth="1"/>
    <x:col min="2" max="2" width="12" hidden="0" customWidth="1"/>
    <x:col min="3" max="3" width="10" hidden="0" customWidth="1"/>
    <x:col min="4" max="4" width="13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커패시터 규격과 배치</x:v>
      </x:c>
      <x:c r="B2" s="2"/>
      <x:c r="C2" s="2"/>
      <x:c r="D2" s="2"/>
      <x:c r="E2" s="2"/>
      <x:c r="F2" s="2"/>
      <x:c r="G2" s="2"/>
      <x:c r="H2" s="2"/>
    </x:row>
    <x:row r="3" ht="28" customHeight="1">
      <x:c r="A3" s="2" t="str">
        <x:v>전원 레일과 GND 사이에 연결. 전해는 극성을 맞추고, 세라믹은 IC 전원 핀 가까이 배치.</x:v>
      </x:c>
      <x:c r="B3" s="2"/>
      <x:c r="C3" s="2"/>
      <x:c r="D3" s="2"/>
      <x:c r="E3" s="2"/>
      <x:c r="F3" s="2"/>
      <x:c r="G3" s="2"/>
      <x:c r="H3" s="2"/>
    </x:row>
    <x:row r="4" ht="28" customHeight="1">
      <x:c r="A4" s="2"/>
      <x:c r="B4" s="2"/>
      <x:c r="C4" s="2"/>
      <x:c r="D4" s="2"/>
      <x:c r="E4" s="2"/>
      <x:c r="F4" s="2"/>
      <x:c r="G4" s="2"/>
      <x:c r="H4" s="2"/>
    </x:row>
    <x:row r="5" ht="38" customHeight="1">
      <x:c r="A5" s="8" t="str">
        <x:v>규격</x:v>
      </x:c>
      <x:c r="B5" s="8" t="str">
        <x:v>실장 수량</x:v>
      </x:c>
      <x:c r="C5" s="8" t="str">
        <x:v>여분</x:v>
      </x:c>
      <x:c r="D5" s="8" t="str">
        <x:v>구매 수량</x:v>
      </x:c>
      <x:c r="E5" s="8" t="str">
        <x:v>A 단가</x:v>
      </x:c>
      <x:c r="F5" s="8" t="str">
        <x:v>A 금액</x:v>
      </x:c>
      <x:c r="G5" s="8" t="str">
        <x:v>B 단가</x:v>
      </x:c>
      <x:c r="H5" s="8" t="str">
        <x:v>B 금액</x:v>
      </x:c>
    </x:row>
    <x:row r="6" ht="28" customHeight="1">
      <x:c r="A6" s="2" t="str">
        <x:v>0.1µF 세라믹, 50V급</x:v>
      </x:c>
      <x:c r="B6" s="2" t="n">
        <x:v>84</x:v>
      </x:c>
      <x:c r="C6" s="2" t="n">
        <x:v>16</x:v>
      </x:c>
      <x:c r="D6" s="28" t="n">
        <x:f>'부품별 예산'!B25</x:f>
        <x:v>100</x:v>
      </x:c>
      <x:c r="E6" s="29" t="n">
        <x:f>'부품별 예산'!D25</x:f>
        <x:v>100</x:v>
      </x:c>
      <x:c r="F6" s="29" t="n">
        <x:f>'부품별 예산'!E25</x:f>
        <x:v>10000</x:v>
      </x:c>
      <x:c r="G6" s="29" t="n">
        <x:f>'부품별 예산'!F25</x:f>
        <x:v>150</x:v>
      </x:c>
      <x:c r="H6" s="29" t="n">
        <x:f>'부품별 예산'!G25</x:f>
        <x:v>15000</x:v>
      </x:c>
    </x:row>
    <x:row r="7" ht="28" customHeight="1">
      <x:c r="A7" s="2" t="str">
        <x:v>1µF 저인덕턴스, 25~50V급</x:v>
      </x:c>
      <x:c r="B7" s="2" t="n">
        <x:v>64</x:v>
      </x:c>
      <x:c r="C7" s="2" t="n">
        <x:v>6</x:v>
      </x:c>
      <x:c r="D7" s="28" t="n">
        <x:f>'부품별 예산'!B26</x:f>
        <x:v>70</x:v>
      </x:c>
      <x:c r="E7" s="29" t="n">
        <x:f>'부품별 예산'!D26</x:f>
        <x:v>250</x:v>
      </x:c>
      <x:c r="F7" s="29" t="n">
        <x:f>'부품별 예산'!E26</x:f>
        <x:v>17500</x:v>
      </x:c>
      <x:c r="G7" s="29" t="n">
        <x:f>'부품별 예산'!F26</x:f>
        <x:v>350</x:v>
      </x:c>
      <x:c r="H7" s="29" t="n">
        <x:f>'부품별 예산'!G26</x:f>
        <x:v>24500</x:v>
      </x:c>
    </x:row>
    <x:row r="8" ht="28" customHeight="1">
      <x:c r="A8" s="2" t="str">
        <x:v>220µF 전해, 25V</x:v>
      </x:c>
      <x:c r="B8" s="2" t="n">
        <x:v>16</x:v>
      </x:c>
      <x:c r="C8" s="2" t="n">
        <x:v>2</x:v>
      </x:c>
      <x:c r="D8" s="28" t="n">
        <x:f>'부품별 예산'!B27</x:f>
        <x:v>18</x:v>
      </x:c>
      <x:c r="E8" s="29" t="n">
        <x:f>'부품별 예산'!D27</x:f>
        <x:v>350</x:v>
      </x:c>
      <x:c r="F8" s="29" t="n">
        <x:f>'부품별 예산'!E27</x:f>
        <x:v>6300</x:v>
      </x:c>
      <x:c r="G8" s="29" t="n">
        <x:f>'부품별 예산'!F27</x:f>
        <x:v>350</x:v>
      </x:c>
      <x:c r="H8" s="29" t="n">
        <x:f>'부품별 예산'!G27</x:f>
        <x:v>6300</x:v>
      </x:c>
    </x:row>
    <x:row r="9" ht="28" customHeight="1">
      <x:c r="A9" s="2" t="str">
        <x:v>1,000µF 전해, 25V</x:v>
      </x:c>
      <x:c r="B9" s="2" t="n">
        <x:v>1</x:v>
      </x:c>
      <x:c r="C9" s="2" t="n">
        <x:v>1</x:v>
      </x:c>
      <x:c r="D9" s="28" t="n">
        <x:f>'부품별 예산'!B28</x:f>
        <x:v>2</x:v>
      </x:c>
      <x:c r="E9" s="29" t="n">
        <x:f>'부품별 예산'!D28</x:f>
        <x:v>800</x:v>
      </x:c>
      <x:c r="F9" s="29" t="n">
        <x:f>'부품별 예산'!E28</x:f>
        <x:v>1600</x:v>
      </x:c>
      <x:c r="G9" s="29" t="n">
        <x:f>'부품별 예산'!F28</x:f>
        <x:v>800</x:v>
      </x:c>
      <x:c r="H9" s="29" t="n">
        <x:f>'부품별 예산'!G28</x:f>
        <x:v>1600</x:v>
      </x:c>
    </x:row>
    <x:row r="10" ht="28" customHeight="1">
      <x:c r="A10" s="2" t="str">
        <x:v>47µF 전해, 16V</x:v>
      </x:c>
      <x:c r="B10" s="2" t="n">
        <x:v>4</x:v>
      </x:c>
      <x:c r="C10" s="2" t="n">
        <x:v>1</x:v>
      </x:c>
      <x:c r="D10" s="28" t="n">
        <x:f>'부품별 예산'!B29</x:f>
        <x:v>5</x:v>
      </x:c>
      <x:c r="E10" s="29" t="n">
        <x:f>'부품별 예산'!D29</x:f>
        <x:v>200</x:v>
      </x:c>
      <x:c r="F10" s="29" t="n">
        <x:f>'부품별 예산'!E29</x:f>
        <x:v>1000</x:v>
      </x:c>
      <x:c r="G10" s="29" t="n">
        <x:f>'부품별 예산'!F29</x:f>
        <x:v>200</x:v>
      </x:c>
      <x:c r="H10" s="29" t="n">
        <x:f>'부품별 예산'!G29</x:f>
        <x:v>1000</x:v>
      </x:c>
    </x:row>
    <x:row r="11" ht="28" customHeight="1">
      <x:c r="A11" s="16" t="str">
        <x:v>합계</x:v>
      </x:c>
      <x:c r="B11" s="16" t="n">
        <x:f>SUM(B6:B10)</x:f>
        <x:v>169</x:v>
      </x:c>
      <x:c r="C11" s="16" t="n">
        <x:f>SUM(C6:C10)</x:f>
        <x:v>26</x:v>
      </x:c>
      <x:c r="D11" s="16" t="n">
        <x:f>SUM(D6:D10)</x:f>
        <x:v>195</x:v>
      </x:c>
      <x:c r="E11" s="20"/>
      <x:c r="F11" s="20" t="n">
        <x:f>SUM(F6:F10)</x:f>
        <x:v>36400</x:v>
      </x:c>
      <x:c r="G11" s="20"/>
      <x:c r="H11" s="20" t="n">
        <x:f>SUM(H6:H10)</x:f>
        <x:v>48400</x:v>
      </x:c>
    </x:row>
    <x:row r="12" ht="28" customHeight="1">
      <x:c r="A12" s="2"/>
      <x:c r="B12" s="2"/>
      <x:c r="C12" s="2"/>
      <x:c r="D12" s="2"/>
      <x:c r="E12" s="2"/>
      <x:c r="F12" s="2"/>
      <x:c r="G12" s="2"/>
      <x:c r="H12" s="2"/>
    </x:row>
    <x:row r="13" ht="28" customHeight="1">
      <x:c r="A13" s="2"/>
      <x:c r="B13" s="2"/>
      <x:c r="C13" s="2"/>
      <x:c r="D13" s="2"/>
      <x:c r="E13" s="2"/>
      <x:c r="F13" s="2"/>
      <x:c r="G13" s="2"/>
      <x:c r="H13" s="2"/>
    </x:row>
    <x:row r="14" ht="28" customHeight="1">
      <x:c r="A14" s="2" t="str">
        <x:v>0.1µF: 드라이버 64 + 시프트 레지스터 16 + 버퍼 4.</x:v>
      </x:c>
      <x:c r="B14" s="2"/>
      <x:c r="C14" s="2"/>
      <x:c r="D14" s="2"/>
      <x:c r="E14" s="2"/>
      <x:c r="F14" s="2"/>
      <x:c r="G14" s="2"/>
      <x:c r="H14" s="2"/>
    </x:row>
    <x:row r="15" ht="28" customHeight="1">
      <x:c r="A15" s="2" t="str">
        <x:v>1µF: 각 드라이버의 0.1µF와 병렬로 추가하는 설계 여유. 부하·배치 검증 후 조정.</x:v>
      </x:c>
      <x:c r="B15" s="2"/>
      <x:c r="C15" s="2"/>
      <x:c r="D15" s="2"/>
      <x:c r="E15" s="2"/>
      <x:c r="F15" s="2"/>
      <x:c r="G15" s="2"/>
      <x:c r="H15" s="2"/>
    </x:row>
    <x:row r="16" ht="28" customHeight="1">
      <x:c r="A16" s="2" t="str">
        <x:v>220µF: 8채널 모듈 16개의 12V 전원 입력에 각 1개.</x:v>
      </x:c>
      <x:c r="B16" s="2"/>
      <x:c r="C16" s="2"/>
      <x:c r="D16" s="2"/>
      <x:c r="E16" s="2"/>
      <x:c r="F16" s="2"/>
      <x:c r="G16" s="2"/>
      <x:c r="H16" s="2"/>
    </x:row>
    <x:row r="17" ht="28" customHeight="1">
      <x:c r="A17" s="2" t="str">
        <x:v>1,000µF: 중앙 12V 전원 분배 입력에 1개.</x:v>
      </x:c>
      <x:c r="B17" s="2"/>
      <x:c r="C17" s="2"/>
      <x:c r="D17" s="2"/>
      <x:c r="E17" s="2"/>
      <x:c r="F17" s="2"/>
      <x:c r="G17" s="2"/>
      <x:c r="H17" s="2"/>
    </x:row>
    <x:row r="18" ht="28" customHeight="1">
      <x:c r="A18" s="2" t="str">
        <x:v>47µF: 네 패널의 5V 논리 전원 분기에 각 1개.</x:v>
      </x:c>
      <x:c r="B18" s="2"/>
      <x:c r="C18" s="2"/>
      <x:c r="D18" s="2"/>
      <x:c r="E18" s="2"/>
      <x:c r="F18" s="2"/>
      <x:c r="G18" s="2"/>
      <x:c r="H18" s="2"/>
    </x:row>
    <x:row r="19" ht="28" customHeight="1">
      <x:c r="A19" s="2" t="str">
        <x:v>공개 BOM의 기본 0.1µF 외 용량은 이번 설계의 시작값. 트랜스듀서 양단에 추가하는 부품 아님.</x:v>
      </x:c>
      <x:c r="B19" s="2"/>
      <x:c r="C19" s="2"/>
      <x:c r="D19" s="2"/>
      <x:c r="E19" s="2"/>
      <x:c r="F19" s="2"/>
      <x:c r="G19" s="2"/>
      <x:c r="H19" s="2"/>
    </x:row>
    <x:row r="20" ht="28" customHeight="1">
      <x:c r="A20" s="2"/>
      <x:c r="B20" s="2"/>
      <x:c r="C20" s="2"/>
      <x:c r="D20" s="2"/>
      <x:c r="E20" s="2"/>
      <x:c r="F20" s="2"/>
      <x:c r="G20" s="2"/>
      <x:c r="H20" s="2"/>
    </x:row>
    <x:row r="21" ht="28" customHeight="1">
      <x:c r="A21" s="2" t="str">
        <x:v>근거: SonicSurface 공개 256채널 BOM의 0.1µF, 50V, 0805 커패시터 160개를 환산.</x:v>
      </x:c>
      <x:c r="B21" s="2"/>
      <x:c r="C21" s="2"/>
      <x:c r="D21" s="2"/>
      <x:c r="E21" s="2"/>
      <x:c r="F21" s="2"/>
      <x:c r="G21" s="2"/>
      <x:c r="H21" s="2"/>
    </x:row>
    <x:row r="22" ht="28" customHeight="1">
      <x:c r="A22" s="2" t="str">
        <x:v>https://raw.githubusercontent.com/upnalab/SonicSurface/main/Electronics/16x16%2010mm%20transducers%20SMD%20PCB%20Gerbers/BOM.txt</x:v>
      </x:c>
      <x:c r="B22" s="2"/>
      <x:c r="C22" s="2"/>
      <x:c r="D22" s="2"/>
      <x:c r="E22" s="2"/>
      <x:c r="F22" s="2"/>
      <x:c r="G22" s="2"/>
      <x:c r="H22" s="2"/>
    </x:row>
  </x:sheetData>
  <x:pageMargins left="0.7" right="0.7" top="0.75" bottom="0.75" header="0.3" footer="0.3"/>
</x:worksheet>
</file>